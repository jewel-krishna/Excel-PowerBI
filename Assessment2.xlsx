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<sst xmlns="http://schemas.openxmlformats.org/spreadsheetml/2006/main" count="344" uniqueCount="115">
  <si>
    <t xml:space="preserve"> Employee ID</t>
  </si>
  <si>
    <t>Name</t>
  </si>
  <si>
    <t>Department</t>
  </si>
  <si>
    <t>Product</t>
  </si>
  <si>
    <t>Region</t>
  </si>
  <si>
    <t>Units Sold</t>
  </si>
  <si>
    <t>Unit Price</t>
  </si>
  <si>
    <t>Date of Sale</t>
  </si>
  <si>
    <t>Total Sale</t>
  </si>
  <si>
    <t>E1000</t>
  </si>
  <si>
    <t>Grace</t>
  </si>
  <si>
    <t>Finance</t>
  </si>
  <si>
    <t>Phone</t>
  </si>
  <si>
    <t>West</t>
  </si>
  <si>
    <t>E1001</t>
  </si>
  <si>
    <t>Tablet</t>
  </si>
  <si>
    <t>South</t>
  </si>
  <si>
    <t>E1002</t>
  </si>
  <si>
    <t>Frank</t>
  </si>
  <si>
    <t>Sales</t>
  </si>
  <si>
    <t>E1003</t>
  </si>
  <si>
    <t>David</t>
  </si>
  <si>
    <t>North</t>
  </si>
  <si>
    <t>E1004</t>
  </si>
  <si>
    <t>Monitor</t>
  </si>
  <si>
    <t>E1005</t>
  </si>
  <si>
    <t>Alice</t>
  </si>
  <si>
    <t>HR</t>
  </si>
  <si>
    <t>Laptop</t>
  </si>
  <si>
    <t>E1006</t>
  </si>
  <si>
    <t>E1007</t>
  </si>
  <si>
    <t>E1008</t>
  </si>
  <si>
    <t>Jack</t>
  </si>
  <si>
    <t>East</t>
  </si>
  <si>
    <t>E1009</t>
  </si>
  <si>
    <t>Marketing</t>
  </si>
  <si>
    <t>E1010</t>
  </si>
  <si>
    <t>Hannah</t>
  </si>
  <si>
    <t>IT</t>
  </si>
  <si>
    <t>E1011</t>
  </si>
  <si>
    <t>E1012</t>
  </si>
  <si>
    <t>Ivy</t>
  </si>
  <si>
    <t>E1013</t>
  </si>
  <si>
    <t>Eve</t>
  </si>
  <si>
    <t>E1014</t>
  </si>
  <si>
    <t>E1015</t>
  </si>
  <si>
    <t>E1016</t>
  </si>
  <si>
    <t>E1017</t>
  </si>
  <si>
    <t>E1018</t>
  </si>
  <si>
    <t>E1019</t>
  </si>
  <si>
    <t>E1020</t>
  </si>
  <si>
    <t>Bob</t>
  </si>
  <si>
    <t>E1021</t>
  </si>
  <si>
    <t>E1022</t>
  </si>
  <si>
    <t>E1023</t>
  </si>
  <si>
    <t>E1024</t>
  </si>
  <si>
    <t>E1025</t>
  </si>
  <si>
    <t>Charlie</t>
  </si>
  <si>
    <t>E1026</t>
  </si>
  <si>
    <t>E1027</t>
  </si>
  <si>
    <t>E1028</t>
  </si>
  <si>
    <t>E1029</t>
  </si>
  <si>
    <t>E1030</t>
  </si>
  <si>
    <t>E1038</t>
  </si>
  <si>
    <t>E1039</t>
  </si>
  <si>
    <t>E1040</t>
  </si>
  <si>
    <t>E1041</t>
  </si>
  <si>
    <t>Keyboard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</si>
  <si>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</si>
  <si>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</si>
  <si>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</si>
  <si>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</si>
  <si>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</si>
  <si>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</si>
  <si>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</si>
  <si>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</si>
  <si>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</si>
  <si>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</si>
  <si>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</si>
  <si>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</si>
  <si>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</si>
  <si>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</si>
  <si>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</si>
  <si>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</si>
  <si>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</si>
  <si>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</si>
  <si>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SUM of Total Sale</t>
  </si>
  <si>
    <t>Grand Total</t>
  </si>
  <si>
    <t>Average</t>
  </si>
  <si>
    <t>SUM of Units Sold</t>
  </si>
  <si>
    <t>COUNTA of  Employee ID</t>
  </si>
  <si>
    <t>Lookup Function Questions</t>
  </si>
  <si>
    <t>1. VLOOKUP Dept by Emp ID</t>
  </si>
  <si>
    <t>2. HLOOKUP Product Header</t>
  </si>
  <si>
    <t>3. XLOOKUP Region by Product</t>
  </si>
  <si>
    <t>4. VLOOKUP Unit Price</t>
  </si>
  <si>
    <t>5. INDEX+MATCH Unit Price</t>
  </si>
  <si>
    <t>6. XLOOKUP Total Sale by Emp</t>
  </si>
  <si>
    <t>7. XLOOKUP Units Sold by Product</t>
  </si>
  <si>
    <t>8. LOOKUP Last Name</t>
  </si>
  <si>
    <t>9. FILTER Units &gt; 90</t>
  </si>
  <si>
    <t>10. CHOOSE Example</t>
  </si>
  <si>
    <t>Pivot Table Questions</t>
  </si>
  <si>
    <t>1. Total Sales by Department</t>
  </si>
  <si>
    <t>2. Average Unit Price by Region</t>
  </si>
  <si>
    <t>3. Units Sold by Product (Chart)</t>
  </si>
  <si>
    <t>4. Sales Count by Region</t>
  </si>
  <si>
    <t>5. Sales by Employee</t>
  </si>
  <si>
    <t>6. Monthly Sales Grouped by Date</t>
  </si>
  <si>
    <t>7. Chart for Department Sales Over Time</t>
  </si>
  <si>
    <t>8. Slicer for Region</t>
  </si>
  <si>
    <t>9. Avg &amp; Max Unit Price per Product</t>
  </si>
  <si>
    <t>10. Region-wise Product Sales Chart</t>
  </si>
  <si>
    <t>AVERAGE of Unit Price</t>
  </si>
  <si>
    <t>MAX of Unit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</si>
</sst>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 Sold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Sheet2!$B$52</c:f>
            </c:strRef>
          </c:tx>
          <c:val>
            <c:numRef>
              <c:f>Sheet2!$B$53:$B$57</c:f>
              <c:numCache/>
            </c:numRef>
          </c:val>
        </c:ser>
        <c:ser>
          <c:idx val="1"/>
          <c:order val="1"/>
          <c:tx>
            <c:strRef>
              <c:f>Sheet2!$C$52</c:f>
            </c:strRef>
          </c:tx>
          <c:val>
            <c:numRef>
              <c:f>Sheet2!$C$53:$C$57</c:f>
              <c:numCache/>
            </c:numRef>
          </c:val>
        </c:ser>
        <c:axId val="494889417"/>
        <c:axId val="409713716"/>
      </c:barChart>
      <c:catAx>
        <c:axId val="494889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9713716"/>
      </c:catAx>
      <c:valAx>
        <c:axId val="40971371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9488941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Department Sales Over Time</a:t>
            </a:r>
          </a:p>
        </c:rich>
      </c:tx>
      <c:overlay val="0"/>
    </c:title>
    <c:plotArea>
      <c:layout/>
      <c:lineChart>
        <c:axId val="13981711"/>
        <c:axId val="35259308"/>
      </c:lineChart>
      <c:catAx>
        <c:axId val="13981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59308"/>
      </c:catAx>
      <c:valAx>
        <c:axId val="3525930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9817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Region-wise Product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Sheet2!$B$128</c:f>
            </c:strRef>
          </c:tx>
          <c:val>
            <c:numRef>
              <c:f>Sheet2!$B$129:$B$132</c:f>
              <c:numCache/>
            </c:numRef>
          </c:val>
        </c:ser>
        <c:ser>
          <c:idx val="1"/>
          <c:order val="1"/>
          <c:tx>
            <c:strRef>
              <c:f>Sheet2!$C$128</c:f>
            </c:strRef>
          </c:tx>
          <c:val>
            <c:numRef>
              <c:f>Sheet2!$C$129:$C$132</c:f>
              <c:numCache/>
            </c:numRef>
          </c:val>
        </c:ser>
        <c:ser>
          <c:idx val="2"/>
          <c:order val="2"/>
          <c:tx>
            <c:strRef>
              <c:f>Sheet2!$D$128</c:f>
            </c:strRef>
          </c:tx>
          <c:val>
            <c:numRef>
              <c:f>Sheet2!$D$129:$D$132</c:f>
              <c:numCache/>
            </c:numRef>
          </c:val>
        </c:ser>
        <c:ser>
          <c:idx val="3"/>
          <c:order val="3"/>
          <c:tx>
            <c:strRef>
              <c:f>Sheet2!$E$128</c:f>
            </c:strRef>
          </c:tx>
          <c:val>
            <c:numRef>
              <c:f>Sheet2!$E$129:$E$132</c:f>
              <c:numCache/>
            </c:numRef>
          </c:val>
        </c:ser>
        <c:ser>
          <c:idx val="4"/>
          <c:order val="4"/>
          <c:tx>
            <c:strRef>
              <c:f>Sheet2!$F$128</c:f>
            </c:strRef>
          </c:tx>
          <c:val>
            <c:numRef>
              <c:f>Sheet2!$F$129:$F$132</c:f>
              <c:numCache/>
            </c:numRef>
          </c:val>
        </c:ser>
        <c:ser>
          <c:idx val="5"/>
          <c:order val="5"/>
          <c:tx>
            <c:strRef>
              <c:f>Sheet2!$G$128</c:f>
            </c:strRef>
          </c:tx>
          <c:val>
            <c:numRef>
              <c:f>Sheet2!$G$129:$G$132</c:f>
              <c:numCache/>
            </c:numRef>
          </c:val>
        </c:ser>
        <c:axId val="32845733"/>
        <c:axId val="589237087"/>
      </c:barChart>
      <c:catAx>
        <c:axId val="328457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237087"/>
      </c:catAx>
      <c:valAx>
        <c:axId val="589237087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328457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51</xdr:row>
      <xdr:rowOff>0</xdr:rowOff>
    </xdr:from>
    <xdr:ext cx="4762500" cy="2857500"/>
    <xdr:graphicFrame>
      <xdr:nvGraphicFramePr>
        <xdr:cNvPr id="1" name="Chart 1" title="Units Sold by Produc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96</xdr:row>
      <xdr:rowOff>0</xdr:rowOff>
    </xdr:from>
    <xdr:ext cx="4762500" cy="2857500"/>
    <xdr:graphicFrame>
      <xdr:nvGraphicFramePr>
        <xdr:cNvPr id="2" name="Chart 2" title="Department Sales Over Tim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0</xdr:colOff>
      <xdr:row>126</xdr:row>
      <xdr:rowOff>0</xdr:rowOff>
    </xdr:from>
    <xdr:ext cx="4762500" cy="2857500"/>
    <xdr:graphicFrame>
      <xdr:nvGraphicFramePr>
        <xdr:cNvPr id="3" name="Chart 3" title="Region-wise Product Sa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44" sheet="Sheet1"/>
  </cacheSource>
  <cacheFields>
    <cacheField name=" Employee ID" numFmtId="0">
      <sharedItems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</sharedItems>
    </cacheField>
    <cacheField name="Name" numFmtId="0">
      <sharedItems>
        <s v="Grace"/>
        <s v="Frank"/>
        <s v="David"/>
        <s v="Alice"/>
        <s v="Jack"/>
        <s v="Hannah"/>
        <s v="Ivy"/>
        <s v="Eve"/>
        <s v="Bob"/>
        <s v="Charlie"/>
      </sharedItems>
    </cacheField>
    <cacheField name="Department" numFmtId="0">
      <sharedItems>
        <s v="Finance"/>
        <s v="Sales"/>
        <s v="HR"/>
        <s v="Marketing"/>
        <s v="IT"/>
      </sharedItems>
    </cacheField>
    <cacheField name="Product" numFmtId="0">
      <sharedItems>
        <s v="Phone"/>
        <s v="Tablet"/>
        <s v="Monitor"/>
        <s v="Laptop"/>
        <s v="Keyboard"/>
      </sharedItems>
    </cacheField>
    <cacheField name="Region" numFmtId="0">
      <sharedItems>
        <s v="West"/>
        <s v="South"/>
        <s v="North"/>
        <s v="East"/>
      </sharedItems>
    </cacheField>
    <cacheField name="Units Sold" numFmtId="0">
      <sharedItems containsSemiMixedTypes="0" containsString="0" containsNumber="1" containsInteger="1">
        <n v="52.0"/>
        <n v="20.0"/>
        <n v="74.0"/>
        <n v="12.0"/>
        <n v="24.0"/>
        <n v="26.0"/>
        <n v="39.0"/>
        <n v="36.0"/>
        <n v="88.0"/>
        <n v="95.0"/>
        <n v="16.0"/>
        <n v="11.0"/>
        <n v="28.0"/>
        <n v="76.0"/>
        <n v="47.0"/>
        <n v="60.0"/>
        <n v="62.0"/>
        <n v="57.0"/>
        <n v="32.0"/>
        <n v="64.0"/>
        <n v="25.0"/>
        <n v="43.0"/>
        <n v="18.0"/>
        <n v="2.0"/>
        <n v="84.0"/>
        <n v="65.0"/>
        <n v="30.0"/>
        <n v="70.0"/>
        <n v="87.0"/>
        <n v="37.0"/>
        <n v="14.0"/>
        <n v="99.0"/>
        <n v="82.0"/>
        <n v="97.0"/>
        <n v="94.0"/>
        <n v="63.0"/>
        <n v="83.0"/>
      </sharedItems>
    </cacheField>
    <cacheField name="Unit Price" numFmtId="0">
      <sharedItems containsSemiMixedTypes="0" containsString="0" containsNumber="1" containsInteger="1">
        <n v="3890.0"/>
        <n v="1050.0"/>
        <n v="1334.0"/>
        <n v="2991.0"/>
        <n v="1326.0"/>
        <n v="2871.0"/>
        <n v="4625.0"/>
        <n v="2257.0"/>
        <n v="3168.0"/>
        <n v="2360.0"/>
        <n v="4264.0"/>
        <n v="4003.0"/>
        <n v="4411.0"/>
        <n v="4104.0"/>
        <n v="3342.0"/>
        <n v="1647.0"/>
        <n v="2045.0"/>
        <n v="3073.0"/>
        <n v="2641.0"/>
        <n v="1582.0"/>
        <n v="3773.0"/>
        <n v="2213.0"/>
        <n v="1518.0"/>
        <n v="1042.0"/>
        <n v="2178.0"/>
        <n v="4439.0"/>
        <n v="1148.0"/>
        <n v="4067.0"/>
        <n v="3294.0"/>
        <n v="2269.0"/>
        <n v="2832.0"/>
        <n v="1757.0"/>
        <n v="4412.0"/>
        <n v="1396.0"/>
        <n v="4050.0"/>
        <n v="3780.0"/>
        <n v="1075.0"/>
        <n v="2152.0"/>
        <n v="4983.0"/>
        <n v="4591.0"/>
        <n v="1793.0"/>
        <n v="3764.0"/>
        <n v="4055.0"/>
      </sharedItems>
    </cacheField>
    <cacheField name="Date of Sale" numFmtId="164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1-29T00:00:00Z"/>
        <d v="2023-01-30T00:00:00Z"/>
        <d v="2023-01-31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</sharedItems>
    </cacheField>
    <cacheField name="Total Sale" numFmtId="0">
      <sharedItems containsSemiMixedTypes="0" containsString="0" containsNumber="1" containsInteger="1">
        <n v="202280.0"/>
        <n v="21000.0"/>
        <n v="98716.0"/>
        <n v="35892.0"/>
        <n v="31824.0"/>
        <n v="74646.0"/>
        <n v="180375.0"/>
        <n v="81252.0"/>
        <n v="278784.0"/>
        <n v="224200.0"/>
        <n v="68224.0"/>
        <n v="44033.0"/>
        <n v="123508.0"/>
        <n v="311904.0"/>
        <n v="247308.0"/>
        <n v="77409.0"/>
        <n v="122700.0"/>
        <n v="190526.0"/>
        <n v="150537.0"/>
        <n v="50624.0"/>
        <n v="241472.0"/>
        <n v="55325.0"/>
        <n v="65274.0"/>
        <n v="18756.0"/>
        <n v="4356.0"/>
        <n v="372876.0"/>
        <n v="13776.0"/>
        <n v="264355.0"/>
        <n v="98820.0"/>
        <n v="158830.0"/>
        <n v="246384.0"/>
        <n v="65009.0"/>
        <n v="105888.0"/>
        <n v="19544.0"/>
        <n v="263250.0"/>
        <n v="374220.0"/>
        <n v="106425.0"/>
        <n v="176464.0"/>
        <n v="483351.0"/>
        <n v="431554.0"/>
        <n v="112959.0"/>
        <n v="240896.0"/>
        <n v="33656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B90:C96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Row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2"/>
  </rowFields>
  <dataFields>
    <dataField name="SUM of Total Sale" fld="8" baseField="0"/>
  </dataFields>
</pivotTableDefinition>
</file>

<file path=xl/pivotTables/pivotTable2.xml><?xml version="1.0" encoding="utf-8"?>
<pivotTableDefinition xmlns="http://schemas.openxmlformats.org/spreadsheetml/2006/main" name="Sheet1 2" cacheId="0" dataCaption="" compact="0" compactData="0">
  <location ref="B101:C106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dataFields>
    <dataField name="Average" fld="6" baseField="0"/>
  </dataFields>
</pivotTableDefinition>
</file>

<file path=xl/pivotTables/pivotTable3.xml><?xml version="1.0" encoding="utf-8"?>
<pivotTableDefinition xmlns="http://schemas.openxmlformats.org/spreadsheetml/2006/main" name="Sheet1 3" cacheId="0" dataCaption="" compact="0" compactData="0">
  <location ref="B109:C115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3"/>
  </rowFields>
  <dataFields>
    <dataField name="SUM of Units Sold" fld="5" baseField="0"/>
  </dataFields>
</pivotTableDefinition>
</file>

<file path=xl/pivotTables/pivotTable4.xml><?xml version="1.0" encoding="utf-8"?>
<pivotTableDefinition xmlns="http://schemas.openxmlformats.org/spreadsheetml/2006/main" name="Sheet1 4" cacheId="0" dataCaption="" compact="0" compactData="0">
  <location ref="B118:C123" firstHeaderRow="0" firstDataRow="1" firstDataCol="0"/>
  <pivotFields>
    <pivotField name=" 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dataFields>
    <dataField name="COUNTA of  Employee ID" fld="0" subtotal="count" baseField="0"/>
  </dataFields>
</pivotTableDefinition>
</file>

<file path=xl/pivotTables/pivotTable5.xml><?xml version="1.0" encoding="utf-8"?>
<pivotTableDefinition xmlns="http://schemas.openxmlformats.org/spreadsheetml/2006/main" name="Sheet1 5" cacheId="0" dataCaption="" compact="0" compactData="0">
  <location ref="B126:C137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axis="axisRow" compact="0" outline="0" multipleItemSelectionAllowed="1" showAll="0" sortType="ascending">
      <items>
        <item x="3"/>
        <item x="8"/>
        <item x="9"/>
        <item x="2"/>
        <item x="7"/>
        <item x="1"/>
        <item x="0"/>
        <item x="5"/>
        <item x="6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1"/>
  </rowFields>
  <dataFields>
    <dataField name="SUM of Total Sale" fld="8" baseField="0"/>
  </dataFields>
</pivotTableDefinition>
</file>

<file path=xl/pivotTables/pivotTable6.xml><?xml version="1.0" encoding="utf-8"?>
<pivotTableDefinition xmlns="http://schemas.openxmlformats.org/spreadsheetml/2006/main" name="Sheet1 6" cacheId="0" dataCaption="" compact="0" compactData="0">
  <location ref="B141:C185" firstHeaderRow="0" firstDataRow="1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7"/>
  </rowFields>
  <dataFields>
    <dataField name="SUM of Total Sale" fld="8" baseField="0"/>
  </dataFields>
</pivotTableDefinition>
</file>

<file path=xl/pivotTables/pivotTable7.xml><?xml version="1.0" encoding="utf-8"?>
<pivotTableDefinition xmlns="http://schemas.openxmlformats.org/spreadsheetml/2006/main" name="Sheet1 7" cacheId="0" dataCaption="" compact="0" compactData="0">
  <location ref="B188:H233" firstHeaderRow="0" firstDataRow="1" firstDataCol="1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axis="axisCol" compact="0" outline="0" multipleItemSelectionAllowed="1" showAll="0" sortType="ascending">
      <items>
        <item x="0"/>
        <item x="2"/>
        <item x="4"/>
        <item x="3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7"/>
  </rowFields>
  <colFields>
    <field x="2"/>
  </colFields>
  <dataFields>
    <dataField name="SUM of Total Sale" fld="8" baseField="0"/>
  </dataFields>
</pivotTableDefinition>
</file>

<file path=xl/pivotTables/pivotTable8.xml><?xml version="1.0" encoding="utf-8"?>
<pivotTableDefinition xmlns="http://schemas.openxmlformats.org/spreadsheetml/2006/main" name="Sheet1 8" cacheId="0" dataCaption="" compact="0" compactData="0">
  <location ref="B237:D243" firstHeaderRow="0" firstDataRow="2" firstDataCol="0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Row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3"/>
  </rowFields>
  <colFields>
    <field x="-2"/>
  </colFields>
  <dataFields>
    <dataField name="AVERAGE of Unit Price" fld="6" subtotal="average" baseField="0"/>
    <dataField name="MAX of Unit Price" fld="6" subtotal="max" baseField="0"/>
  </dataFields>
</pivotTableDefinition>
</file>

<file path=xl/pivotTables/pivotTable9.xml><?xml version="1.0" encoding="utf-8"?>
<pivotTableDefinition xmlns="http://schemas.openxmlformats.org/spreadsheetml/2006/main" name="Sheet1 9" cacheId="0" dataCaption="" compact="0" compactData="0">
  <location ref="B246:H252" firstHeaderRow="0" firstDataRow="1" firstDataCol="1"/>
  <pivotFields>
    <pivotField name=" 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" axis="axisCol" compact="0" outline="0" multipleItemSelectionAllowed="1" showAll="0" sortType="ascending">
      <items>
        <item x="4"/>
        <item x="3"/>
        <item x="2"/>
        <item x="0"/>
        <item x="1"/>
        <item t="default"/>
      </items>
    </pivotField>
    <pivotField name="Region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 of Sal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 S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4"/>
  </rowFields>
  <colFields>
    <field x="3"/>
  </colFields>
  <dataFields>
    <dataField name="SUM of Total Sal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1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7.13"/>
    <col customWidth="1" min="8" max="8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52.0</v>
      </c>
      <c r="G2" s="3">
        <v>3890.0</v>
      </c>
      <c r="H2" s="4">
        <v>44927.0</v>
      </c>
      <c r="I2" s="3">
        <v>202280.0</v>
      </c>
    </row>
    <row r="3">
      <c r="A3" s="2" t="s">
        <v>14</v>
      </c>
      <c r="B3" s="2" t="s">
        <v>10</v>
      </c>
      <c r="C3" s="2" t="s">
        <v>11</v>
      </c>
      <c r="D3" s="2" t="s">
        <v>15</v>
      </c>
      <c r="E3" s="2" t="s">
        <v>16</v>
      </c>
      <c r="F3" s="3">
        <v>20.0</v>
      </c>
      <c r="G3" s="3">
        <v>1050.0</v>
      </c>
      <c r="H3" s="4">
        <v>44928.0</v>
      </c>
      <c r="I3" s="3">
        <v>21000.0</v>
      </c>
    </row>
    <row r="4">
      <c r="A4" s="2" t="s">
        <v>17</v>
      </c>
      <c r="B4" s="2" t="s">
        <v>18</v>
      </c>
      <c r="C4" s="2" t="s">
        <v>19</v>
      </c>
      <c r="D4" s="2" t="s">
        <v>12</v>
      </c>
      <c r="E4" s="2" t="s">
        <v>16</v>
      </c>
      <c r="F4" s="3">
        <v>74.0</v>
      </c>
      <c r="G4" s="3">
        <v>1334.0</v>
      </c>
      <c r="H4" s="4">
        <v>44929.0</v>
      </c>
      <c r="I4" s="3">
        <v>98716.0</v>
      </c>
    </row>
    <row r="5">
      <c r="A5" s="2" t="s">
        <v>20</v>
      </c>
      <c r="B5" s="2" t="s">
        <v>21</v>
      </c>
      <c r="C5" s="2" t="s">
        <v>11</v>
      </c>
      <c r="D5" s="2" t="s">
        <v>12</v>
      </c>
      <c r="E5" s="2" t="s">
        <v>22</v>
      </c>
      <c r="F5" s="3">
        <v>12.0</v>
      </c>
      <c r="G5" s="3">
        <v>2991.0</v>
      </c>
      <c r="H5" s="4">
        <v>44930.0</v>
      </c>
      <c r="I5" s="3">
        <v>35892.0</v>
      </c>
    </row>
    <row r="6">
      <c r="A6" s="2" t="s">
        <v>23</v>
      </c>
      <c r="B6" s="2" t="s">
        <v>18</v>
      </c>
      <c r="C6" s="2" t="s">
        <v>19</v>
      </c>
      <c r="D6" s="2" t="s">
        <v>24</v>
      </c>
      <c r="E6" s="2" t="s">
        <v>22</v>
      </c>
      <c r="F6" s="3">
        <v>24.0</v>
      </c>
      <c r="G6" s="3">
        <v>1326.0</v>
      </c>
      <c r="H6" s="4">
        <v>44931.0</v>
      </c>
      <c r="I6" s="3">
        <v>31824.0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2" t="s">
        <v>22</v>
      </c>
      <c r="F7" s="3">
        <v>26.0</v>
      </c>
      <c r="G7" s="3">
        <v>2871.0</v>
      </c>
      <c r="H7" s="4">
        <v>44932.0</v>
      </c>
      <c r="I7" s="3">
        <v>74646.0</v>
      </c>
    </row>
    <row r="8">
      <c r="A8" s="2" t="s">
        <v>29</v>
      </c>
      <c r="B8" s="2" t="s">
        <v>26</v>
      </c>
      <c r="C8" s="2" t="s">
        <v>27</v>
      </c>
      <c r="D8" s="2" t="s">
        <v>15</v>
      </c>
      <c r="E8" s="2" t="s">
        <v>13</v>
      </c>
      <c r="F8" s="3">
        <v>39.0</v>
      </c>
      <c r="G8" s="3">
        <v>4625.0</v>
      </c>
      <c r="H8" s="4">
        <v>44933.0</v>
      </c>
      <c r="I8" s="3">
        <v>180375.0</v>
      </c>
    </row>
    <row r="9">
      <c r="A9" s="2" t="s">
        <v>30</v>
      </c>
      <c r="B9" s="2" t="s">
        <v>18</v>
      </c>
      <c r="C9" s="2" t="s">
        <v>11</v>
      </c>
      <c r="D9" s="2" t="s">
        <v>15</v>
      </c>
      <c r="E9" s="2" t="s">
        <v>13</v>
      </c>
      <c r="F9" s="3">
        <v>36.0</v>
      </c>
      <c r="G9" s="3">
        <v>2257.0</v>
      </c>
      <c r="H9" s="4">
        <v>44934.0</v>
      </c>
      <c r="I9" s="3">
        <v>81252.0</v>
      </c>
    </row>
    <row r="10">
      <c r="A10" s="2" t="s">
        <v>31</v>
      </c>
      <c r="B10" s="2" t="s">
        <v>32</v>
      </c>
      <c r="C10" s="2" t="s">
        <v>27</v>
      </c>
      <c r="D10" s="2" t="s">
        <v>24</v>
      </c>
      <c r="E10" s="2" t="s">
        <v>33</v>
      </c>
      <c r="F10" s="3">
        <v>88.0</v>
      </c>
      <c r="G10" s="3">
        <v>3168.0</v>
      </c>
      <c r="H10" s="4">
        <v>44935.0</v>
      </c>
      <c r="I10" s="3">
        <v>278784.0</v>
      </c>
    </row>
    <row r="11">
      <c r="A11" s="2" t="s">
        <v>34</v>
      </c>
      <c r="B11" s="2" t="s">
        <v>32</v>
      </c>
      <c r="C11" s="2" t="s">
        <v>35</v>
      </c>
      <c r="D11" s="2" t="s">
        <v>15</v>
      </c>
      <c r="E11" s="2" t="s">
        <v>22</v>
      </c>
      <c r="F11" s="3">
        <v>95.0</v>
      </c>
      <c r="G11" s="3">
        <v>2360.0</v>
      </c>
      <c r="H11" s="4">
        <v>44936.0</v>
      </c>
      <c r="I11" s="3">
        <v>224200.0</v>
      </c>
    </row>
    <row r="12">
      <c r="A12" s="2" t="s">
        <v>36</v>
      </c>
      <c r="B12" s="2" t="s">
        <v>37</v>
      </c>
      <c r="C12" s="2" t="s">
        <v>38</v>
      </c>
      <c r="D12" s="2" t="s">
        <v>12</v>
      </c>
      <c r="E12" s="2" t="s">
        <v>22</v>
      </c>
      <c r="F12" s="3">
        <v>16.0</v>
      </c>
      <c r="G12" s="3">
        <v>4264.0</v>
      </c>
      <c r="H12" s="4">
        <v>44937.0</v>
      </c>
      <c r="I12" s="3">
        <v>68224.0</v>
      </c>
    </row>
    <row r="13">
      <c r="A13" s="2" t="s">
        <v>39</v>
      </c>
      <c r="B13" s="2" t="s">
        <v>18</v>
      </c>
      <c r="C13" s="2" t="s">
        <v>27</v>
      </c>
      <c r="D13" s="2" t="s">
        <v>28</v>
      </c>
      <c r="E13" s="2" t="s">
        <v>22</v>
      </c>
      <c r="F13" s="3">
        <v>11.0</v>
      </c>
      <c r="G13" s="3">
        <v>4003.0</v>
      </c>
      <c r="H13" s="4">
        <v>44938.0</v>
      </c>
      <c r="I13" s="3">
        <v>44033.0</v>
      </c>
    </row>
    <row r="14">
      <c r="A14" s="2" t="s">
        <v>40</v>
      </c>
      <c r="B14" s="2" t="s">
        <v>41</v>
      </c>
      <c r="C14" s="2" t="s">
        <v>38</v>
      </c>
      <c r="D14" s="2" t="s">
        <v>28</v>
      </c>
      <c r="E14" s="2" t="s">
        <v>16</v>
      </c>
      <c r="F14" s="3">
        <v>28.0</v>
      </c>
      <c r="G14" s="3">
        <v>4411.0</v>
      </c>
      <c r="H14" s="4">
        <v>44939.0</v>
      </c>
      <c r="I14" s="3">
        <v>123508.0</v>
      </c>
    </row>
    <row r="15">
      <c r="A15" s="2" t="s">
        <v>42</v>
      </c>
      <c r="B15" s="2" t="s">
        <v>43</v>
      </c>
      <c r="C15" s="2" t="s">
        <v>27</v>
      </c>
      <c r="D15" s="2" t="s">
        <v>24</v>
      </c>
      <c r="E15" s="2" t="s">
        <v>33</v>
      </c>
      <c r="F15" s="3">
        <v>76.0</v>
      </c>
      <c r="G15" s="3">
        <v>4104.0</v>
      </c>
      <c r="H15" s="4">
        <v>44940.0</v>
      </c>
      <c r="I15" s="3">
        <v>311904.0</v>
      </c>
    </row>
    <row r="16">
      <c r="A16" s="2" t="s">
        <v>44</v>
      </c>
      <c r="B16" s="2" t="s">
        <v>21</v>
      </c>
      <c r="C16" s="2" t="s">
        <v>11</v>
      </c>
      <c r="D16" s="2" t="s">
        <v>24</v>
      </c>
      <c r="E16" s="2" t="s">
        <v>33</v>
      </c>
      <c r="F16" s="3">
        <v>74.0</v>
      </c>
      <c r="G16" s="3">
        <v>3342.0</v>
      </c>
      <c r="H16" s="4">
        <v>44941.0</v>
      </c>
      <c r="I16" s="3">
        <v>247308.0</v>
      </c>
    </row>
    <row r="17">
      <c r="A17" s="2" t="s">
        <v>45</v>
      </c>
      <c r="B17" s="2" t="s">
        <v>21</v>
      </c>
      <c r="C17" s="2" t="s">
        <v>11</v>
      </c>
      <c r="D17" s="2" t="s">
        <v>24</v>
      </c>
      <c r="E17" s="2" t="s">
        <v>22</v>
      </c>
      <c r="F17" s="3">
        <v>47.0</v>
      </c>
      <c r="G17" s="3">
        <v>1647.0</v>
      </c>
      <c r="H17" s="4">
        <v>44942.0</v>
      </c>
      <c r="I17" s="3">
        <v>77409.0</v>
      </c>
    </row>
    <row r="18">
      <c r="A18" s="2" t="s">
        <v>46</v>
      </c>
      <c r="B18" s="2" t="s">
        <v>32</v>
      </c>
      <c r="C18" s="2" t="s">
        <v>35</v>
      </c>
      <c r="D18" s="2" t="s">
        <v>24</v>
      </c>
      <c r="E18" s="2" t="s">
        <v>22</v>
      </c>
      <c r="F18" s="3">
        <v>60.0</v>
      </c>
      <c r="G18" s="3">
        <v>2045.0</v>
      </c>
      <c r="H18" s="4">
        <v>44943.0</v>
      </c>
      <c r="I18" s="3">
        <v>122700.0</v>
      </c>
    </row>
    <row r="19">
      <c r="A19" s="2" t="s">
        <v>47</v>
      </c>
      <c r="B19" s="2" t="s">
        <v>10</v>
      </c>
      <c r="C19" s="2" t="s">
        <v>38</v>
      </c>
      <c r="D19" s="2" t="s">
        <v>24</v>
      </c>
      <c r="E19" s="2" t="s">
        <v>16</v>
      </c>
      <c r="F19" s="3">
        <v>62.0</v>
      </c>
      <c r="G19" s="3">
        <v>3073.0</v>
      </c>
      <c r="H19" s="4">
        <v>44944.0</v>
      </c>
      <c r="I19" s="3">
        <v>190526.0</v>
      </c>
    </row>
    <row r="20">
      <c r="A20" s="2" t="s">
        <v>48</v>
      </c>
      <c r="B20" s="2" t="s">
        <v>18</v>
      </c>
      <c r="C20" s="2" t="s">
        <v>38</v>
      </c>
      <c r="D20" s="2" t="s">
        <v>15</v>
      </c>
      <c r="E20" s="2" t="s">
        <v>33</v>
      </c>
      <c r="F20" s="3">
        <v>57.0</v>
      </c>
      <c r="G20" s="3">
        <v>2641.0</v>
      </c>
      <c r="H20" s="4">
        <v>44945.0</v>
      </c>
      <c r="I20" s="3">
        <v>150537.0</v>
      </c>
    </row>
    <row r="21">
      <c r="A21" s="2" t="s">
        <v>49</v>
      </c>
      <c r="B21" s="2" t="s">
        <v>18</v>
      </c>
      <c r="C21" s="2" t="s">
        <v>38</v>
      </c>
      <c r="D21" s="2" t="s">
        <v>24</v>
      </c>
      <c r="E21" s="2" t="s">
        <v>16</v>
      </c>
      <c r="F21" s="3">
        <v>32.0</v>
      </c>
      <c r="G21" s="3">
        <v>1582.0</v>
      </c>
      <c r="H21" s="4">
        <v>44946.0</v>
      </c>
      <c r="I21" s="3">
        <v>50624.0</v>
      </c>
    </row>
    <row r="22">
      <c r="A22" s="2" t="s">
        <v>50</v>
      </c>
      <c r="B22" s="2" t="s">
        <v>51</v>
      </c>
      <c r="C22" s="2" t="s">
        <v>11</v>
      </c>
      <c r="D22" s="2" t="s">
        <v>15</v>
      </c>
      <c r="E22" s="2" t="s">
        <v>13</v>
      </c>
      <c r="F22" s="3">
        <v>64.0</v>
      </c>
      <c r="G22" s="3">
        <v>3773.0</v>
      </c>
      <c r="H22" s="4">
        <v>44947.0</v>
      </c>
      <c r="I22" s="3">
        <v>241472.0</v>
      </c>
    </row>
    <row r="23">
      <c r="A23" s="2" t="s">
        <v>52</v>
      </c>
      <c r="B23" s="2" t="s">
        <v>41</v>
      </c>
      <c r="C23" s="2" t="s">
        <v>38</v>
      </c>
      <c r="D23" s="2" t="s">
        <v>15</v>
      </c>
      <c r="E23" s="2" t="s">
        <v>22</v>
      </c>
      <c r="F23" s="3">
        <v>25.0</v>
      </c>
      <c r="G23" s="3">
        <v>2213.0</v>
      </c>
      <c r="H23" s="4">
        <v>44948.0</v>
      </c>
      <c r="I23" s="3">
        <v>55325.0</v>
      </c>
    </row>
    <row r="24">
      <c r="A24" s="2" t="s">
        <v>53</v>
      </c>
      <c r="B24" s="2" t="s">
        <v>18</v>
      </c>
      <c r="C24" s="2" t="s">
        <v>11</v>
      </c>
      <c r="D24" s="2" t="s">
        <v>12</v>
      </c>
      <c r="E24" s="2" t="s">
        <v>22</v>
      </c>
      <c r="F24" s="3">
        <v>43.0</v>
      </c>
      <c r="G24" s="3">
        <v>1518.0</v>
      </c>
      <c r="H24" s="4">
        <v>44949.0</v>
      </c>
      <c r="I24" s="3">
        <v>65274.0</v>
      </c>
    </row>
    <row r="25">
      <c r="A25" s="2" t="s">
        <v>54</v>
      </c>
      <c r="B25" s="2" t="s">
        <v>43</v>
      </c>
      <c r="C25" s="2" t="s">
        <v>38</v>
      </c>
      <c r="D25" s="2" t="s">
        <v>24</v>
      </c>
      <c r="E25" s="2" t="s">
        <v>16</v>
      </c>
      <c r="F25" s="3">
        <v>18.0</v>
      </c>
      <c r="G25" s="3">
        <v>1042.0</v>
      </c>
      <c r="H25" s="4">
        <v>44950.0</v>
      </c>
      <c r="I25" s="3">
        <v>18756.0</v>
      </c>
    </row>
    <row r="26">
      <c r="A26" s="2" t="s">
        <v>55</v>
      </c>
      <c r="B26" s="2" t="s">
        <v>51</v>
      </c>
      <c r="C26" s="2" t="s">
        <v>19</v>
      </c>
      <c r="D26" s="2" t="s">
        <v>24</v>
      </c>
      <c r="E26" s="2" t="s">
        <v>33</v>
      </c>
      <c r="F26" s="3">
        <v>2.0</v>
      </c>
      <c r="G26" s="3">
        <v>2178.0</v>
      </c>
      <c r="H26" s="4">
        <v>44951.0</v>
      </c>
      <c r="I26" s="3">
        <v>4356.0</v>
      </c>
    </row>
    <row r="27">
      <c r="A27" s="2" t="s">
        <v>56</v>
      </c>
      <c r="B27" s="2" t="s">
        <v>57</v>
      </c>
      <c r="C27" s="2" t="s">
        <v>27</v>
      </c>
      <c r="D27" s="2" t="s">
        <v>12</v>
      </c>
      <c r="E27" s="2" t="s">
        <v>33</v>
      </c>
      <c r="F27" s="3">
        <v>84.0</v>
      </c>
      <c r="G27" s="3">
        <v>4439.0</v>
      </c>
      <c r="H27" s="4">
        <v>44952.0</v>
      </c>
      <c r="I27" s="3">
        <v>372876.0</v>
      </c>
    </row>
    <row r="28">
      <c r="A28" s="2" t="s">
        <v>58</v>
      </c>
      <c r="B28" s="2" t="s">
        <v>18</v>
      </c>
      <c r="C28" s="2" t="s">
        <v>11</v>
      </c>
      <c r="D28" s="2" t="s">
        <v>24</v>
      </c>
      <c r="E28" s="2" t="s">
        <v>22</v>
      </c>
      <c r="F28" s="3">
        <v>12.0</v>
      </c>
      <c r="G28" s="3">
        <v>1148.0</v>
      </c>
      <c r="H28" s="4">
        <v>44953.0</v>
      </c>
      <c r="I28" s="3">
        <v>13776.0</v>
      </c>
    </row>
    <row r="29">
      <c r="A29" s="2" t="s">
        <v>59</v>
      </c>
      <c r="B29" s="2" t="s">
        <v>51</v>
      </c>
      <c r="C29" s="2" t="s">
        <v>11</v>
      </c>
      <c r="D29" s="2" t="s">
        <v>15</v>
      </c>
      <c r="E29" s="2" t="s">
        <v>33</v>
      </c>
      <c r="F29" s="3">
        <v>65.0</v>
      </c>
      <c r="G29" s="3">
        <v>4067.0</v>
      </c>
      <c r="H29" s="4">
        <v>44954.0</v>
      </c>
      <c r="I29" s="3">
        <v>264355.0</v>
      </c>
      <c r="J29" s="3"/>
    </row>
    <row r="30">
      <c r="A30" s="2" t="s">
        <v>60</v>
      </c>
      <c r="B30" s="2" t="s">
        <v>41</v>
      </c>
      <c r="C30" s="2" t="s">
        <v>27</v>
      </c>
      <c r="D30" s="2" t="s">
        <v>28</v>
      </c>
      <c r="E30" s="2" t="s">
        <v>33</v>
      </c>
      <c r="F30" s="3">
        <v>30.0</v>
      </c>
      <c r="G30" s="3">
        <v>3294.0</v>
      </c>
      <c r="H30" s="4">
        <v>44955.0</v>
      </c>
      <c r="I30" s="3">
        <v>98820.0</v>
      </c>
    </row>
    <row r="31">
      <c r="A31" s="2" t="s">
        <v>61</v>
      </c>
      <c r="B31" s="2" t="s">
        <v>43</v>
      </c>
      <c r="C31" s="2" t="s">
        <v>27</v>
      </c>
      <c r="D31" s="2" t="s">
        <v>28</v>
      </c>
      <c r="E31" s="2" t="s">
        <v>33</v>
      </c>
      <c r="F31" s="3">
        <v>70.0</v>
      </c>
      <c r="G31" s="3">
        <v>2269.0</v>
      </c>
      <c r="H31" s="4">
        <v>44956.0</v>
      </c>
      <c r="I31" s="3">
        <v>158830.0</v>
      </c>
    </row>
    <row r="32">
      <c r="A32" s="2" t="s">
        <v>62</v>
      </c>
      <c r="B32" s="2" t="s">
        <v>51</v>
      </c>
      <c r="C32" s="2" t="s">
        <v>19</v>
      </c>
      <c r="D32" s="2" t="s">
        <v>15</v>
      </c>
      <c r="E32" s="2" t="s">
        <v>22</v>
      </c>
      <c r="F32" s="3">
        <v>87.0</v>
      </c>
      <c r="G32" s="3">
        <v>2832.0</v>
      </c>
      <c r="H32" s="4">
        <v>44957.0</v>
      </c>
      <c r="I32" s="3">
        <v>246384.0</v>
      </c>
    </row>
    <row r="33">
      <c r="A33" s="2" t="s">
        <v>63</v>
      </c>
      <c r="B33" s="2" t="s">
        <v>21</v>
      </c>
      <c r="C33" s="2" t="s">
        <v>38</v>
      </c>
      <c r="D33" s="2" t="s">
        <v>12</v>
      </c>
      <c r="E33" s="2" t="s">
        <v>13</v>
      </c>
      <c r="F33" s="3">
        <v>37.0</v>
      </c>
      <c r="G33" s="3">
        <v>1757.0</v>
      </c>
      <c r="H33" s="4">
        <v>44965.0</v>
      </c>
      <c r="I33" s="3">
        <v>65009.0</v>
      </c>
    </row>
    <row r="34">
      <c r="A34" s="2" t="s">
        <v>64</v>
      </c>
      <c r="B34" s="2" t="s">
        <v>10</v>
      </c>
      <c r="C34" s="2" t="s">
        <v>27</v>
      </c>
      <c r="D34" s="2" t="s">
        <v>28</v>
      </c>
      <c r="E34" s="2" t="s">
        <v>33</v>
      </c>
      <c r="F34" s="3">
        <v>24.0</v>
      </c>
      <c r="G34" s="3">
        <v>4412.0</v>
      </c>
      <c r="H34" s="4">
        <v>44966.0</v>
      </c>
      <c r="I34" s="3">
        <v>105888.0</v>
      </c>
    </row>
    <row r="35">
      <c r="A35" s="2" t="s">
        <v>65</v>
      </c>
      <c r="B35" s="2" t="s">
        <v>51</v>
      </c>
      <c r="C35" s="2" t="s">
        <v>19</v>
      </c>
      <c r="D35" s="2" t="s">
        <v>24</v>
      </c>
      <c r="E35" s="2" t="s">
        <v>13</v>
      </c>
      <c r="F35" s="3">
        <v>14.0</v>
      </c>
      <c r="G35" s="3">
        <v>1396.0</v>
      </c>
      <c r="H35" s="4">
        <v>44967.0</v>
      </c>
      <c r="I35" s="3">
        <v>19544.0</v>
      </c>
    </row>
    <row r="36">
      <c r="A36" s="2" t="s">
        <v>66</v>
      </c>
      <c r="B36" s="2" t="s">
        <v>32</v>
      </c>
      <c r="C36" s="2" t="s">
        <v>35</v>
      </c>
      <c r="D36" s="2" t="s">
        <v>67</v>
      </c>
      <c r="E36" s="2" t="s">
        <v>33</v>
      </c>
      <c r="F36" s="3">
        <v>65.0</v>
      </c>
      <c r="G36" s="3">
        <v>4050.0</v>
      </c>
      <c r="H36" s="4">
        <v>44968.0</v>
      </c>
      <c r="I36" s="3">
        <v>263250.0</v>
      </c>
    </row>
    <row r="37">
      <c r="A37" s="2" t="s">
        <v>68</v>
      </c>
      <c r="B37" s="2" t="s">
        <v>26</v>
      </c>
      <c r="C37" s="2" t="s">
        <v>35</v>
      </c>
      <c r="D37" s="2" t="s">
        <v>15</v>
      </c>
      <c r="E37" s="2" t="s">
        <v>33</v>
      </c>
      <c r="F37" s="3">
        <v>99.0</v>
      </c>
      <c r="G37" s="3">
        <v>3780.0</v>
      </c>
      <c r="H37" s="4">
        <v>44969.0</v>
      </c>
      <c r="I37" s="3">
        <v>374220.0</v>
      </c>
    </row>
    <row r="38">
      <c r="A38" s="2" t="s">
        <v>69</v>
      </c>
      <c r="B38" s="2" t="s">
        <v>32</v>
      </c>
      <c r="C38" s="2" t="s">
        <v>11</v>
      </c>
      <c r="D38" s="2" t="s">
        <v>12</v>
      </c>
      <c r="E38" s="2" t="s">
        <v>13</v>
      </c>
      <c r="F38" s="3">
        <v>99.0</v>
      </c>
      <c r="G38" s="3">
        <v>1075.0</v>
      </c>
      <c r="H38" s="4">
        <v>44970.0</v>
      </c>
      <c r="I38" s="3">
        <v>106425.0</v>
      </c>
    </row>
    <row r="39">
      <c r="A39" s="2" t="s">
        <v>70</v>
      </c>
      <c r="B39" s="2" t="s">
        <v>21</v>
      </c>
      <c r="C39" s="2" t="s">
        <v>35</v>
      </c>
      <c r="D39" s="2" t="s">
        <v>15</v>
      </c>
      <c r="E39" s="2" t="s">
        <v>13</v>
      </c>
      <c r="F39" s="3">
        <v>82.0</v>
      </c>
      <c r="G39" s="3">
        <v>2152.0</v>
      </c>
      <c r="H39" s="4">
        <v>44971.0</v>
      </c>
      <c r="I39" s="3">
        <v>176464.0</v>
      </c>
    </row>
    <row r="40">
      <c r="A40" s="2" t="s">
        <v>71</v>
      </c>
      <c r="B40" s="2" t="s">
        <v>18</v>
      </c>
      <c r="C40" s="2" t="s">
        <v>11</v>
      </c>
      <c r="D40" s="2" t="s">
        <v>67</v>
      </c>
      <c r="E40" s="2" t="s">
        <v>22</v>
      </c>
      <c r="F40" s="3">
        <v>97.0</v>
      </c>
      <c r="G40" s="3">
        <v>4983.0</v>
      </c>
      <c r="H40" s="4">
        <v>44972.0</v>
      </c>
      <c r="I40" s="3">
        <v>483351.0</v>
      </c>
    </row>
    <row r="41">
      <c r="A41" s="2" t="s">
        <v>72</v>
      </c>
      <c r="B41" s="2" t="s">
        <v>21</v>
      </c>
      <c r="C41" s="2" t="s">
        <v>27</v>
      </c>
      <c r="D41" s="2" t="s">
        <v>12</v>
      </c>
      <c r="E41" s="2" t="s">
        <v>13</v>
      </c>
      <c r="F41" s="3">
        <v>94.0</v>
      </c>
      <c r="G41" s="3">
        <v>4591.0</v>
      </c>
      <c r="H41" s="4">
        <v>44973.0</v>
      </c>
      <c r="I41" s="3">
        <v>431554.0</v>
      </c>
    </row>
    <row r="42">
      <c r="A42" s="2" t="s">
        <v>73</v>
      </c>
      <c r="B42" s="2" t="s">
        <v>26</v>
      </c>
      <c r="C42" s="2" t="s">
        <v>38</v>
      </c>
      <c r="D42" s="2" t="s">
        <v>15</v>
      </c>
      <c r="E42" s="2" t="s">
        <v>13</v>
      </c>
      <c r="F42" s="3">
        <v>63.0</v>
      </c>
      <c r="G42" s="3">
        <v>1793.0</v>
      </c>
      <c r="H42" s="4">
        <v>44974.0</v>
      </c>
      <c r="I42" s="3">
        <v>112959.0</v>
      </c>
    </row>
    <row r="43">
      <c r="A43" s="2" t="s">
        <v>74</v>
      </c>
      <c r="B43" s="2" t="s">
        <v>21</v>
      </c>
      <c r="C43" s="2" t="s">
        <v>27</v>
      </c>
      <c r="D43" s="2" t="s">
        <v>67</v>
      </c>
      <c r="E43" s="2" t="s">
        <v>16</v>
      </c>
      <c r="F43" s="3">
        <v>64.0</v>
      </c>
      <c r="G43" s="3">
        <v>3764.0</v>
      </c>
      <c r="H43" s="4">
        <v>44975.0</v>
      </c>
      <c r="I43" s="3">
        <v>240896.0</v>
      </c>
    </row>
    <row r="44">
      <c r="A44" s="2" t="s">
        <v>75</v>
      </c>
      <c r="B44" s="2" t="s">
        <v>32</v>
      </c>
      <c r="C44" s="2" t="s">
        <v>11</v>
      </c>
      <c r="D44" s="2" t="s">
        <v>67</v>
      </c>
      <c r="E44" s="2" t="s">
        <v>16</v>
      </c>
      <c r="F44" s="3">
        <v>83.0</v>
      </c>
      <c r="G44" s="3">
        <v>4055.0</v>
      </c>
      <c r="H44" s="4">
        <v>44976.0</v>
      </c>
      <c r="I44" s="3">
        <v>336565.0</v>
      </c>
    </row>
    <row r="49">
      <c r="A49" s="5" t="s">
        <v>76</v>
      </c>
      <c r="B49" s="6" t="str">
        <f t="shared" ref="B49:B61" si="1">VLOOKUP(A2,A2:I44,3,FALSE)</f>
        <v>Finance</v>
      </c>
    </row>
    <row r="50">
      <c r="A50" s="7"/>
      <c r="B50" s="6" t="str">
        <f t="shared" si="1"/>
        <v>Finance</v>
      </c>
    </row>
    <row r="51">
      <c r="A51" s="7"/>
      <c r="B51" s="6" t="str">
        <f t="shared" si="1"/>
        <v>Sales</v>
      </c>
    </row>
    <row r="52">
      <c r="A52" s="7"/>
      <c r="B52" s="6" t="str">
        <f t="shared" si="1"/>
        <v>Finance</v>
      </c>
    </row>
    <row r="53">
      <c r="A53" s="7"/>
      <c r="B53" s="6" t="str">
        <f t="shared" si="1"/>
        <v>Sales</v>
      </c>
    </row>
    <row r="54">
      <c r="A54" s="7"/>
      <c r="B54" s="6" t="str">
        <f t="shared" si="1"/>
        <v>HR</v>
      </c>
    </row>
    <row r="55">
      <c r="A55" s="7"/>
      <c r="B55" s="6" t="str">
        <f t="shared" si="1"/>
        <v>HR</v>
      </c>
    </row>
    <row r="56">
      <c r="A56" s="7"/>
      <c r="B56" s="6" t="str">
        <f t="shared" si="1"/>
        <v>Finance</v>
      </c>
    </row>
    <row r="57">
      <c r="A57" s="7"/>
      <c r="B57" s="6" t="str">
        <f t="shared" si="1"/>
        <v>HR</v>
      </c>
    </row>
    <row r="58">
      <c r="A58" s="7"/>
      <c r="B58" s="6" t="str">
        <f t="shared" si="1"/>
        <v>Marketing</v>
      </c>
    </row>
    <row r="59">
      <c r="A59" s="7"/>
      <c r="B59" s="6" t="str">
        <f t="shared" si="1"/>
        <v>IT</v>
      </c>
    </row>
    <row r="60">
      <c r="A60" s="7"/>
      <c r="B60" s="6" t="str">
        <f t="shared" si="1"/>
        <v>HR</v>
      </c>
    </row>
    <row r="61">
      <c r="A61" s="7"/>
      <c r="B61" s="6" t="str">
        <f t="shared" si="1"/>
        <v>IT</v>
      </c>
    </row>
    <row r="62">
      <c r="A62" s="7"/>
    </row>
    <row r="63">
      <c r="A63" s="5" t="s">
        <v>77</v>
      </c>
      <c r="B63" s="6" t="str">
        <f>HLOOKUP("Product",A1:I44,2,FALSE)</f>
        <v>Phone</v>
      </c>
    </row>
    <row r="64">
      <c r="A64" s="5" t="s">
        <v>78</v>
      </c>
      <c r="B64" s="6" t="str">
        <f t="array" ref="B64">_xlfn.XLOOKUP("Phone",$D$2:$D$44,$E$2:$E$44)</f>
        <v>West</v>
      </c>
    </row>
    <row r="65">
      <c r="A65" s="5" t="s">
        <v>79</v>
      </c>
      <c r="B65" s="6">
        <f>VLOOKUP("E1000",A2:I44,7,FALSE)</f>
        <v>3890</v>
      </c>
    </row>
    <row r="66">
      <c r="A66" s="5" t="s">
        <v>80</v>
      </c>
      <c r="B66" s="6">
        <f t="array" ref="B66">INDEX(G2:G44,MATCH("E1000",A2:A44,0))</f>
        <v>3890</v>
      </c>
    </row>
    <row r="67">
      <c r="A67" s="5" t="s">
        <v>81</v>
      </c>
      <c r="B67" s="6">
        <f t="array" ref="B67">_xlfn.XLOOKUP("E1000",A2:A44,I2:I44)</f>
        <v>202280</v>
      </c>
    </row>
    <row r="68">
      <c r="A68" s="5" t="s">
        <v>82</v>
      </c>
      <c r="B68" s="6">
        <f t="array" ref="B68">_xlfn.XLOOKUP("Phone",D2:D44,F2:F44)</f>
        <v>52</v>
      </c>
    </row>
    <row r="70">
      <c r="A70" s="5" t="s">
        <v>83</v>
      </c>
      <c r="B70" s="8" t="str">
        <f>LOOKUP("E1000",A2:A44,B2:B44)</f>
        <v>Grace</v>
      </c>
    </row>
    <row r="76">
      <c r="A76" s="5" t="s">
        <v>84</v>
      </c>
      <c r="B76" s="6" t="str">
        <f>IFERROR(__xludf.DUMMYFUNCTION("FILTER(A2:I44,F2:F44&gt;90)"),"E1009")</f>
        <v>E1009</v>
      </c>
      <c r="C76" s="6" t="str">
        <f>IFERROR(__xludf.DUMMYFUNCTION("""COMPUTED_VALUE"""),"Jack")</f>
        <v>Jack</v>
      </c>
      <c r="D76" s="6" t="str">
        <f>IFERROR(__xludf.DUMMYFUNCTION("""COMPUTED_VALUE"""),"Marketing")</f>
        <v>Marketing</v>
      </c>
      <c r="E76" s="6" t="str">
        <f>IFERROR(__xludf.DUMMYFUNCTION("""COMPUTED_VALUE"""),"Tablet")</f>
        <v>Tablet</v>
      </c>
      <c r="F76" s="6" t="str">
        <f>IFERROR(__xludf.DUMMYFUNCTION("""COMPUTED_VALUE"""),"North")</f>
        <v>North</v>
      </c>
      <c r="G76" s="6">
        <f>IFERROR(__xludf.DUMMYFUNCTION("""COMPUTED_VALUE"""),95.0)</f>
        <v>95</v>
      </c>
      <c r="H76" s="6">
        <f>IFERROR(__xludf.DUMMYFUNCTION("""COMPUTED_VALUE"""),2360.0)</f>
        <v>2360</v>
      </c>
      <c r="I76" s="9">
        <f>IFERROR(__xludf.DUMMYFUNCTION("""COMPUTED_VALUE"""),44936.0)</f>
        <v>44936</v>
      </c>
      <c r="J76" s="6">
        <f>IFERROR(__xludf.DUMMYFUNCTION("""COMPUTED_VALUE"""),224200.0)</f>
        <v>224200</v>
      </c>
    </row>
    <row r="77">
      <c r="A77" s="5"/>
      <c r="B77" s="6" t="str">
        <f>IFERROR(__xludf.DUMMYFUNCTION("""COMPUTED_VALUE"""),"E1042")</f>
        <v>E1042</v>
      </c>
      <c r="C77" s="6" t="str">
        <f>IFERROR(__xludf.DUMMYFUNCTION("""COMPUTED_VALUE"""),"Alice")</f>
        <v>Alice</v>
      </c>
      <c r="D77" s="6" t="str">
        <f>IFERROR(__xludf.DUMMYFUNCTION("""COMPUTED_VALUE"""),"Marketing")</f>
        <v>Marketing</v>
      </c>
      <c r="E77" s="6" t="str">
        <f>IFERROR(__xludf.DUMMYFUNCTION("""COMPUTED_VALUE"""),"Tablet")</f>
        <v>Tablet</v>
      </c>
      <c r="F77" s="6" t="str">
        <f>IFERROR(__xludf.DUMMYFUNCTION("""COMPUTED_VALUE"""),"East")</f>
        <v>East</v>
      </c>
      <c r="G77" s="6">
        <f>IFERROR(__xludf.DUMMYFUNCTION("""COMPUTED_VALUE"""),99.0)</f>
        <v>99</v>
      </c>
      <c r="H77" s="6">
        <f>IFERROR(__xludf.DUMMYFUNCTION("""COMPUTED_VALUE"""),3780.0)</f>
        <v>3780</v>
      </c>
      <c r="I77" s="9">
        <f>IFERROR(__xludf.DUMMYFUNCTION("""COMPUTED_VALUE"""),44969.0)</f>
        <v>44969</v>
      </c>
      <c r="J77" s="6">
        <f>IFERROR(__xludf.DUMMYFUNCTION("""COMPUTED_VALUE"""),374220.0)</f>
        <v>374220</v>
      </c>
    </row>
    <row r="78">
      <c r="B78" s="6" t="str">
        <f>IFERROR(__xludf.DUMMYFUNCTION("""COMPUTED_VALUE"""),"E1043")</f>
        <v>E1043</v>
      </c>
      <c r="C78" s="6" t="str">
        <f>IFERROR(__xludf.DUMMYFUNCTION("""COMPUTED_VALUE"""),"Jack")</f>
        <v>Jack</v>
      </c>
      <c r="D78" s="6" t="str">
        <f>IFERROR(__xludf.DUMMYFUNCTION("""COMPUTED_VALUE"""),"Finance")</f>
        <v>Finance</v>
      </c>
      <c r="E78" s="6" t="str">
        <f>IFERROR(__xludf.DUMMYFUNCTION("""COMPUTED_VALUE"""),"Phone")</f>
        <v>Phone</v>
      </c>
      <c r="F78" s="6" t="str">
        <f>IFERROR(__xludf.DUMMYFUNCTION("""COMPUTED_VALUE"""),"West")</f>
        <v>West</v>
      </c>
      <c r="G78" s="6">
        <f>IFERROR(__xludf.DUMMYFUNCTION("""COMPUTED_VALUE"""),99.0)</f>
        <v>99</v>
      </c>
      <c r="H78" s="6">
        <f>IFERROR(__xludf.DUMMYFUNCTION("""COMPUTED_VALUE"""),1075.0)</f>
        <v>1075</v>
      </c>
      <c r="I78" s="9">
        <f>IFERROR(__xludf.DUMMYFUNCTION("""COMPUTED_VALUE"""),44970.0)</f>
        <v>44970</v>
      </c>
      <c r="J78" s="6">
        <f>IFERROR(__xludf.DUMMYFUNCTION("""COMPUTED_VALUE"""),106425.0)</f>
        <v>106425</v>
      </c>
    </row>
    <row r="79">
      <c r="B79" s="6" t="str">
        <f>IFERROR(__xludf.DUMMYFUNCTION("""COMPUTED_VALUE"""),"E1045")</f>
        <v>E1045</v>
      </c>
      <c r="C79" s="6" t="str">
        <f>IFERROR(__xludf.DUMMYFUNCTION("""COMPUTED_VALUE"""),"Frank")</f>
        <v>Frank</v>
      </c>
      <c r="D79" s="6" t="str">
        <f>IFERROR(__xludf.DUMMYFUNCTION("""COMPUTED_VALUE"""),"Finance")</f>
        <v>Finance</v>
      </c>
      <c r="E79" s="6" t="str">
        <f>IFERROR(__xludf.DUMMYFUNCTION("""COMPUTED_VALUE"""),"Keyboard")</f>
        <v>Keyboard</v>
      </c>
      <c r="F79" s="6" t="str">
        <f>IFERROR(__xludf.DUMMYFUNCTION("""COMPUTED_VALUE"""),"North")</f>
        <v>North</v>
      </c>
      <c r="G79" s="6">
        <f>IFERROR(__xludf.DUMMYFUNCTION("""COMPUTED_VALUE"""),97.0)</f>
        <v>97</v>
      </c>
      <c r="H79" s="6">
        <f>IFERROR(__xludf.DUMMYFUNCTION("""COMPUTED_VALUE"""),4983.0)</f>
        <v>4983</v>
      </c>
      <c r="I79" s="9">
        <f>IFERROR(__xludf.DUMMYFUNCTION("""COMPUTED_VALUE"""),44972.0)</f>
        <v>44972</v>
      </c>
      <c r="J79" s="6">
        <f>IFERROR(__xludf.DUMMYFUNCTION("""COMPUTED_VALUE"""),483351.0)</f>
        <v>483351</v>
      </c>
    </row>
    <row r="80">
      <c r="B80" s="6" t="str">
        <f>IFERROR(__xludf.DUMMYFUNCTION("""COMPUTED_VALUE"""),"E1046")</f>
        <v>E1046</v>
      </c>
      <c r="C80" s="6" t="str">
        <f>IFERROR(__xludf.DUMMYFUNCTION("""COMPUTED_VALUE"""),"David")</f>
        <v>David</v>
      </c>
      <c r="D80" s="6" t="str">
        <f>IFERROR(__xludf.DUMMYFUNCTION("""COMPUTED_VALUE"""),"HR")</f>
        <v>HR</v>
      </c>
      <c r="E80" s="6" t="str">
        <f>IFERROR(__xludf.DUMMYFUNCTION("""COMPUTED_VALUE"""),"Phone")</f>
        <v>Phone</v>
      </c>
      <c r="F80" s="6" t="str">
        <f>IFERROR(__xludf.DUMMYFUNCTION("""COMPUTED_VALUE"""),"West")</f>
        <v>West</v>
      </c>
      <c r="G80" s="6">
        <f>IFERROR(__xludf.DUMMYFUNCTION("""COMPUTED_VALUE"""),94.0)</f>
        <v>94</v>
      </c>
      <c r="H80" s="6">
        <f>IFERROR(__xludf.DUMMYFUNCTION("""COMPUTED_VALUE"""),4591.0)</f>
        <v>4591</v>
      </c>
      <c r="I80" s="9">
        <f>IFERROR(__xludf.DUMMYFUNCTION("""COMPUTED_VALUE"""),44973.0)</f>
        <v>44973</v>
      </c>
      <c r="J80" s="6">
        <f>IFERROR(__xludf.DUMMYFUNCTION("""COMPUTED_VALUE"""),431554.0)</f>
        <v>431554</v>
      </c>
    </row>
    <row r="83">
      <c r="A83" s="5" t="s">
        <v>85</v>
      </c>
      <c r="B83" s="6" t="str">
        <f>CHOOSE(3,"North","South","East","West")</f>
        <v>East</v>
      </c>
    </row>
    <row r="90">
      <c r="A90" s="10" t="s">
        <v>76</v>
      </c>
    </row>
    <row r="91"/>
    <row r="92"/>
    <row r="93"/>
    <row r="94"/>
    <row r="95"/>
    <row r="96"/>
    <row r="101">
      <c r="A101" s="10" t="s">
        <v>77</v>
      </c>
    </row>
    <row r="102"/>
    <row r="103"/>
    <row r="104"/>
    <row r="105"/>
    <row r="106"/>
    <row r="109">
      <c r="A109" s="10" t="s">
        <v>78</v>
      </c>
    </row>
    <row r="110"/>
    <row r="111"/>
    <row r="112"/>
    <row r="113"/>
    <row r="114"/>
    <row r="115"/>
    <row r="118">
      <c r="A118" s="10" t="s">
        <v>79</v>
      </c>
    </row>
    <row r="119"/>
    <row r="120"/>
    <row r="121"/>
    <row r="122"/>
    <row r="123"/>
    <row r="126">
      <c r="A126" s="10" t="s">
        <v>80</v>
      </c>
    </row>
    <row r="127"/>
    <row r="128"/>
    <row r="129"/>
    <row r="130"/>
    <row r="131"/>
    <row r="132"/>
    <row r="133"/>
    <row r="134"/>
    <row r="135"/>
    <row r="136"/>
    <row r="137"/>
    <row r="141">
      <c r="A141" s="10" t="s">
        <v>81</v>
      </c>
    </row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8">
      <c r="A188" s="10" t="s">
        <v>82</v>
      </c>
    </row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7">
      <c r="A237" s="10" t="s">
        <v>84</v>
      </c>
    </row>
    <row r="238"/>
    <row r="239"/>
    <row r="240"/>
    <row r="241"/>
    <row r="242"/>
    <row r="243"/>
    <row r="246">
      <c r="A246" s="10" t="s">
        <v>85</v>
      </c>
    </row>
    <row r="247"/>
    <row r="248"/>
    <row r="249"/>
    <row r="250"/>
    <row r="251"/>
    <row r="252"/>
  </sheetData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91</v>
      </c>
    </row>
    <row r="2">
      <c r="A2" s="2" t="s">
        <v>92</v>
      </c>
    </row>
    <row r="3">
      <c r="A3" s="2" t="s">
        <v>93</v>
      </c>
    </row>
    <row r="4">
      <c r="A4" s="2" t="s">
        <v>94</v>
      </c>
    </row>
    <row r="5">
      <c r="A5" s="2" t="s">
        <v>95</v>
      </c>
    </row>
    <row r="6">
      <c r="A6" s="2" t="s">
        <v>96</v>
      </c>
    </row>
    <row r="7">
      <c r="A7" s="2" t="s">
        <v>97</v>
      </c>
    </row>
    <row r="8">
      <c r="A8" s="2" t="s">
        <v>98</v>
      </c>
    </row>
    <row r="9">
      <c r="A9" s="2" t="s">
        <v>99</v>
      </c>
    </row>
    <row r="10">
      <c r="A10" s="2" t="s">
        <v>100</v>
      </c>
    </row>
    <row r="11">
      <c r="A11" s="2" t="s">
        <v>101</v>
      </c>
    </row>
    <row r="12">
      <c r="A12" s="11" t="s">
        <v>102</v>
      </c>
    </row>
    <row r="13">
      <c r="A13" s="2" t="s">
        <v>103</v>
      </c>
    </row>
    <row r="14">
      <c r="A14" s="2" t="s">
        <v>104</v>
      </c>
    </row>
    <row r="15">
      <c r="A15" s="2" t="s">
        <v>105</v>
      </c>
    </row>
    <row r="16">
      <c r="A16" s="2" t="s">
        <v>106</v>
      </c>
    </row>
    <row r="17">
      <c r="A17" s="2" t="s">
        <v>107</v>
      </c>
    </row>
    <row r="18">
      <c r="A18" s="2" t="s">
        <v>108</v>
      </c>
    </row>
    <row r="19">
      <c r="A19" s="2" t="s">
        <v>109</v>
      </c>
    </row>
    <row r="20">
      <c r="A20" s="2" t="s">
        <v>110</v>
      </c>
    </row>
    <row r="21">
      <c r="A21" s="2" t="s">
        <v>111</v>
      </c>
    </row>
    <row r="22">
      <c r="A22" s="2" t="s">
        <v>112</v>
      </c>
    </row>
  </sheetData>
  <drawing r:id="rId1"/>
</worksheet>
</file>